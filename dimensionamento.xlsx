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Dimensionamento" sheetId="2" state="visible" r:id="rId4"/>
    <sheet name="Custo_GC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<sst xmlns="http://schemas.openxmlformats.org/spreadsheetml/2006/main" count="175" uniqueCount="139">
  <si>
    <t xml:space="preserve">Dimensionamento de armazenamento e custo</t>
  </si>
  <si>
    <t xml:space="preserve">Células em azul são entradas editáveis. Células em preto são fórmulas.</t>
  </si>
  <si>
    <t xml:space="preserve">Parâmetros do delineamento</t>
  </si>
  <si>
    <t xml:space="preserve">Parâmetro</t>
  </si>
  <si>
    <t xml:space="preserve">Símbolo</t>
  </si>
  <si>
    <t xml:space="preserve">Cenário A</t>
  </si>
  <si>
    <t xml:space="preserve">Cenário B</t>
  </si>
  <si>
    <t xml:space="preserve">Origem</t>
  </si>
  <si>
    <t xml:space="preserve">Usuários</t>
  </si>
  <si>
    <t xml:space="preserve">U</t>
  </si>
  <si>
    <t xml:space="preserve">escala definida no delineamento</t>
  </si>
  <si>
    <t xml:space="preserve">Candidatos por usuário</t>
  </si>
  <si>
    <t xml:space="preserve">N</t>
  </si>
  <si>
    <t xml:space="preserve">fixado em Material e Métodos</t>
  </si>
  <si>
    <t xml:space="preserve">Itens retornados</t>
  </si>
  <si>
    <t xml:space="preserve">k</t>
  </si>
  <si>
    <t xml:space="preserve">Cardinalidade de contextos</t>
  </si>
  <si>
    <t xml:space="preserve">C</t>
  </si>
  <si>
    <t xml:space="preserve">gêneros do MovieLens 32M</t>
  </si>
  <si>
    <t xml:space="preserve">Itens no catálogo</t>
  </si>
  <si>
    <t xml:space="preserve">I</t>
  </si>
  <si>
    <t xml:space="preserve">MovieLens 32M</t>
  </si>
  <si>
    <t xml:space="preserve">Bytes úteis por entrada</t>
  </si>
  <si>
    <t xml:space="preserve">b</t>
  </si>
  <si>
    <t xml:space="preserve">item_id 4 bytes + score 4 bytes</t>
  </si>
  <si>
    <t xml:space="preserve">Fatores de sobrecarga de armazenamento</t>
  </si>
  <si>
    <t xml:space="preserve">ESTIMATIVAS — substituir por medição real após carga piloto</t>
  </si>
  <si>
    <t xml:space="preserve">Tecnologia</t>
  </si>
  <si>
    <t xml:space="preserve">Fator</t>
  </si>
  <si>
    <t xml:space="preserve">Base da estimativa</t>
  </si>
  <si>
    <t xml:space="preserve">PostgreSQL</t>
  </si>
  <si>
    <t xml:space="preserve">cabeçalho de tupla 23 bytes + índice B-tree</t>
  </si>
  <si>
    <t xml:space="preserve">Valkey</t>
  </si>
  <si>
    <t xml:space="preserve">codificação skiplist de sorted set com ponteiros</t>
  </si>
  <si>
    <t xml:space="preserve">ScyllaDB</t>
  </si>
  <si>
    <t xml:space="preserve">SSTable comprimida + chave de agrupamento</t>
  </si>
  <si>
    <t xml:space="preserve">OpenSearch</t>
  </si>
  <si>
    <t xml:space="preserve">documento + índice invertido + campo doc_values</t>
  </si>
  <si>
    <t xml:space="preserve">Preços de referência</t>
  </si>
  <si>
    <t xml:space="preserve">CONFERIR na calculadora do provedor antes de usar</t>
  </si>
  <si>
    <t xml:space="preserve">Item</t>
  </si>
  <si>
    <t xml:space="preserve">Valor</t>
  </si>
  <si>
    <t xml:space="preserve">Unidade</t>
  </si>
  <si>
    <t xml:space="preserve">Armazenamento em bloco (SSD)</t>
  </si>
  <si>
    <t xml:space="preserve">USD por GB-mês</t>
  </si>
  <si>
    <t xml:space="preserve">Memória provisionada</t>
  </si>
  <si>
    <t xml:space="preserve">USD por GB-hora</t>
  </si>
  <si>
    <t xml:space="preserve">Horas por mês</t>
  </si>
  <si>
    <t xml:space="preserve">h</t>
  </si>
  <si>
    <t xml:space="preserve">Registros e volume por estratégia</t>
  </si>
  <si>
    <t xml:space="preserve">Bloco 1 — Registros armazenados</t>
  </si>
  <si>
    <t xml:space="preserve">Estratégia</t>
  </si>
  <si>
    <t xml:space="preserve">Fórmula</t>
  </si>
  <si>
    <t xml:space="preserve">E-1  filtro na aplicação</t>
  </si>
  <si>
    <t xml:space="preserve">U × N</t>
  </si>
  <si>
    <t xml:space="preserve">E-2  predicado no banco</t>
  </si>
  <si>
    <t xml:space="preserve">E-3  pré-materialização</t>
  </si>
  <si>
    <t xml:space="preserve">U × C × k</t>
  </si>
  <si>
    <t xml:space="preserve">E-4  interseção de conjuntos</t>
  </si>
  <si>
    <t xml:space="preserve">E-4  listas invertidas globais</t>
  </si>
  <si>
    <t xml:space="preserve">I × C ÷ 8 (bytes)</t>
  </si>
  <si>
    <t xml:space="preserve">As listas de E-4 são compartilhadas por toda a base: não escalam com U.</t>
  </si>
  <si>
    <t xml:space="preserve">Bloco 2 — Volume em GB por estratégia e tecnologia</t>
  </si>
  <si>
    <t xml:space="preserve">Cenário A (U da coluna C de Parâmetros)</t>
  </si>
  <si>
    <t xml:space="preserve">n/a</t>
  </si>
  <si>
    <t xml:space="preserve">Cenário B (U da coluna D de Parâmetros)</t>
  </si>
  <si>
    <t xml:space="preserve">Bloco 3 — Custo mensal de armazenamento (cenário A)</t>
  </si>
  <si>
    <t xml:space="preserve">Em disco (Postgres, USD)</t>
  </si>
  <si>
    <t xml:space="preserve">Em memória (Valkey, USD)</t>
  </si>
  <si>
    <t xml:space="preserve">Razão memória ÷ disco</t>
  </si>
  <si>
    <t xml:space="preserve">Ponto de cruzamento entre E-1 e E-3</t>
  </si>
  <si>
    <t xml:space="preserve">E-3 ocupa menos que E-1 enquanto C × k &lt; N</t>
  </si>
  <si>
    <t xml:space="preserve">C × k (cenário A)</t>
  </si>
  <si>
    <t xml:space="preserve">Acrescentar um segundo eixo contextual multiplica C e inverte a relação.</t>
  </si>
  <si>
    <t xml:space="preserve">Estimativa de custo do experimento no Google Cloud Platform</t>
  </si>
  <si>
    <t xml:space="preserve">Células azuis são entradas. Preços de referência de jul/2026, us-central1, sob demanda, Linux.</t>
  </si>
  <si>
    <t xml:space="preserve">Bloco A — Preços unitários</t>
  </si>
  <si>
    <t xml:space="preserve">Recurso</t>
  </si>
  <si>
    <t xml:space="preserve">Preço</t>
  </si>
  <si>
    <t xml:space="preserve">Observação</t>
  </si>
  <si>
    <t xml:space="preserve">n2-standard-8 (8 vCPU, 32 GB)</t>
  </si>
  <si>
    <t xml:space="preserve">USD/hora</t>
  </si>
  <si>
    <t xml:space="preserve">VM de banco e de gerador de carga</t>
  </si>
  <si>
    <t xml:space="preserve">n2-standard-4 (4 vCPU, 16 GB)</t>
  </si>
  <si>
    <t xml:space="preserve">VM do serviço de API</t>
  </si>
  <si>
    <t xml:space="preserve">n2-highmem-32 (32 vCPU, 256 GB)</t>
  </si>
  <si>
    <t xml:space="preserve">só para o cenário de 10M usuários</t>
  </si>
  <si>
    <t xml:space="preserve">Disco persistente SSD</t>
  </si>
  <si>
    <t xml:space="preserve">USD/GB-mês</t>
  </si>
  <si>
    <t xml:space="preserve">pd-ssd</t>
  </si>
  <si>
    <t xml:space="preserve">Snapshot de disco</t>
  </si>
  <si>
    <t xml:space="preserve">preserva a carga entre sessões</t>
  </si>
  <si>
    <t xml:space="preserve">Multiplicador região São Paulo</t>
  </si>
  <si>
    <t xml:space="preserve">×</t>
  </si>
  <si>
    <t xml:space="preserve">southamerica-east1 vs. us-central1</t>
  </si>
  <si>
    <t xml:space="preserve">Câmbio</t>
  </si>
  <si>
    <t xml:space="preserve">BRL/USD</t>
  </si>
  <si>
    <t xml:space="preserve">conferir na data da execução</t>
  </si>
  <si>
    <t xml:space="preserve">Bloco B — Composição do cluster de medição</t>
  </si>
  <si>
    <t xml:space="preserve">Função</t>
  </si>
  <si>
    <t xml:space="preserve">Máquina</t>
  </si>
  <si>
    <t xml:space="preserve">Qtd.</t>
  </si>
  <si>
    <t xml:space="preserve">Banco de dados sob teste</t>
  </si>
  <si>
    <t xml:space="preserve">n2-standard-8</t>
  </si>
  <si>
    <t xml:space="preserve">Serviço de API</t>
  </si>
  <si>
    <t xml:space="preserve">n2-standard-4</t>
  </si>
  <si>
    <t xml:space="preserve">Gerador de carga</t>
  </si>
  <si>
    <t xml:space="preserve">Custo horário do cluster</t>
  </si>
  <si>
    <t xml:space="preserve">Bloco C — Horas de execução estimadas</t>
  </si>
  <si>
    <t xml:space="preserve">Etapa</t>
  </si>
  <si>
    <t xml:space="preserve">Execuções</t>
  </si>
  <si>
    <t xml:space="preserve">Minutos por execução</t>
  </si>
  <si>
    <t xml:space="preserve">Horas</t>
  </si>
  <si>
    <t xml:space="preserve">Depuração e validação na nuvem</t>
  </si>
  <si>
    <t xml:space="preserve">sessão contínua de ajuste</t>
  </si>
  <si>
    <t xml:space="preserve">Carga de dados (3 conjuntos × 4 bancos)</t>
  </si>
  <si>
    <t xml:space="preserve">OpenSearch é o mais lento</t>
  </si>
  <si>
    <t xml:space="preserve">Triagem (15 células × 3 repetições)</t>
  </si>
  <si>
    <t xml:space="preserve">7 min de teste + 2 min de troca</t>
  </si>
  <si>
    <t xml:space="preserve">Confirmação Fase 1 (5 × 3 selet. × 3 cargas × 5 rep.)</t>
  </si>
  <si>
    <t xml:space="preserve">sem recarga entre execuções</t>
  </si>
  <si>
    <t xml:space="preserve">Rampa de saturação (15 células)</t>
  </si>
  <si>
    <t xml:space="preserve">até violar o SLO</t>
  </si>
  <si>
    <t xml:space="preserve">Fase 2 transmissão (3 × 3 payloads × 3 cargas × 5 rep.)</t>
  </si>
  <si>
    <t xml:space="preserve">Subtotal</t>
  </si>
  <si>
    <t xml:space="preserve">Margem para execuções perdidas e repetição</t>
  </si>
  <si>
    <t xml:space="preserve">Total de horas do cluster</t>
  </si>
  <si>
    <t xml:space="preserve">Bloco D — Custo total</t>
  </si>
  <si>
    <t xml:space="preserve">Base</t>
  </si>
  <si>
    <t xml:space="preserve">USD</t>
  </si>
  <si>
    <t xml:space="preserve">BRL</t>
  </si>
  <si>
    <t xml:space="preserve">Computação (us-central1)</t>
  </si>
  <si>
    <t xml:space="preserve">Disco SSD (200 GB por 1 mês)</t>
  </si>
  <si>
    <t xml:space="preserve">Snapshots (200 GB por 1 mês)</t>
  </si>
  <si>
    <t xml:space="preserve">Total em us-central1</t>
  </si>
  <si>
    <t xml:space="preserve">Total em southamerica-east1 (São Paulo)</t>
  </si>
  <si>
    <t xml:space="preserve">Crédito de US$ 300 para contas novas cobre boa parte do total. Validade de 90 dias.</t>
  </si>
  <si>
    <t xml:space="preserve">VMs Spot custam de 60% a 91% menos: use para carga de dados e depuração, nunca para medição.</t>
  </si>
  <si>
    <t xml:space="preserve">Snapshot do disco após cada carga evita repetir horas de ingestão ao religar o ambiente.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</si>
</sst>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"/>
    <numFmt numFmtId="167" formatCode="0.000"/>
    <numFmt numFmtId="168" formatCode="#,##0.0"/>
    <numFmt numFmtId="169" formatCode="\$#,##0"/>
    <numFmt numFmtId="170" formatCode="0.0\x"/>
    <numFmt numFmtId="171" formatCode="0.0000"/>
    <numFmt numFmtId="172" formatCode="0%"/>
    <numFmt numFmtId="173" formatCode="\$#,##0"/>
    <numFmt numFmtId="174" formatCode="&quot;R$ &quot;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4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6" t="s">
        <v>9</v>
      </c>
      <c r="C6" s="7" t="n">
        <v>1000000</v>
      </c>
      <c r="D6" s="7" t="n">
        <v>10000000</v>
      </c>
      <c r="E6" s="3" t="s">
        <v>10</v>
      </c>
    </row>
    <row r="7" customFormat="false" ht="15" hidden="false" customHeight="true" outlineLevel="0" collapsed="false">
      <c r="A7" s="6" t="s">
        <v>11</v>
      </c>
      <c r="B7" s="6" t="s">
        <v>12</v>
      </c>
      <c r="C7" s="7" t="n">
        <v>500</v>
      </c>
      <c r="D7" s="7" t="n">
        <v>500</v>
      </c>
      <c r="E7" s="3" t="s">
        <v>13</v>
      </c>
    </row>
    <row r="8" customFormat="false" ht="15" hidden="false" customHeight="true" outlineLevel="0" collapsed="false">
      <c r="A8" s="6" t="s">
        <v>14</v>
      </c>
      <c r="B8" s="6" t="s">
        <v>15</v>
      </c>
      <c r="C8" s="7" t="n">
        <v>20</v>
      </c>
      <c r="D8" s="7" t="n">
        <v>20</v>
      </c>
      <c r="E8" s="3" t="s">
        <v>13</v>
      </c>
    </row>
    <row r="9" customFormat="false" ht="15" hidden="false" customHeight="true" outlineLevel="0" collapsed="false">
      <c r="A9" s="6" t="s">
        <v>16</v>
      </c>
      <c r="B9" s="6" t="s">
        <v>17</v>
      </c>
      <c r="C9" s="7" t="n">
        <v>20</v>
      </c>
      <c r="D9" s="7" t="n">
        <v>20</v>
      </c>
      <c r="E9" s="3" t="s">
        <v>18</v>
      </c>
    </row>
    <row r="10" customFormat="false" ht="15" hidden="false" customHeight="true" outlineLevel="0" collapsed="false">
      <c r="A10" s="6" t="s">
        <v>19</v>
      </c>
      <c r="B10" s="6" t="s">
        <v>20</v>
      </c>
      <c r="C10" s="7" t="n">
        <v>87585</v>
      </c>
      <c r="D10" s="7" t="n">
        <v>87585</v>
      </c>
      <c r="E10" s="3" t="s">
        <v>21</v>
      </c>
    </row>
    <row r="11" customFormat="false" ht="15" hidden="false" customHeight="true" outlineLevel="0" collapsed="false">
      <c r="A11" s="6" t="s">
        <v>22</v>
      </c>
      <c r="B11" s="6" t="s">
        <v>23</v>
      </c>
      <c r="C11" s="7" t="n">
        <v>8</v>
      </c>
      <c r="D11" s="7" t="n">
        <v>8</v>
      </c>
      <c r="E11" s="3" t="s">
        <v>24</v>
      </c>
    </row>
    <row r="13" customFormat="false" ht="15" hidden="false" customHeight="true" outlineLevel="0" collapsed="false">
      <c r="A13" s="4" t="s">
        <v>25</v>
      </c>
      <c r="D13" s="3" t="s">
        <v>26</v>
      </c>
    </row>
    <row r="14" customFormat="false" ht="15" hidden="false" customHeight="true" outlineLevel="0" collapsed="false">
      <c r="A14" s="5" t="s">
        <v>27</v>
      </c>
      <c r="B14" s="5" t="s">
        <v>28</v>
      </c>
      <c r="C14" s="5" t="s">
        <v>29</v>
      </c>
    </row>
    <row r="15" customFormat="false" ht="15" hidden="false" customHeight="true" outlineLevel="0" collapsed="false">
      <c r="A15" s="6" t="s">
        <v>30</v>
      </c>
      <c r="B15" s="8" t="n">
        <v>3.5</v>
      </c>
      <c r="C15" s="3" t="s">
        <v>31</v>
      </c>
    </row>
    <row r="16" customFormat="false" ht="15" hidden="false" customHeight="true" outlineLevel="0" collapsed="false">
      <c r="A16" s="6" t="s">
        <v>32</v>
      </c>
      <c r="B16" s="8" t="n">
        <v>4</v>
      </c>
      <c r="C16" s="3" t="s">
        <v>33</v>
      </c>
    </row>
    <row r="17" customFormat="false" ht="15" hidden="false" customHeight="true" outlineLevel="0" collapsed="false">
      <c r="A17" s="6" t="s">
        <v>34</v>
      </c>
      <c r="B17" s="8" t="n">
        <v>2.5</v>
      </c>
      <c r="C17" s="3" t="s">
        <v>35</v>
      </c>
    </row>
    <row r="18" customFormat="false" ht="15" hidden="false" customHeight="true" outlineLevel="0" collapsed="false">
      <c r="A18" s="6" t="s">
        <v>36</v>
      </c>
      <c r="B18" s="8" t="n">
        <v>3</v>
      </c>
      <c r="C18" s="3" t="s">
        <v>37</v>
      </c>
    </row>
    <row r="20" customFormat="false" ht="15" hidden="false" customHeight="true" outlineLevel="0" collapsed="false">
      <c r="A20" s="4" t="s">
        <v>38</v>
      </c>
      <c r="D20" s="3" t="s">
        <v>39</v>
      </c>
    </row>
    <row r="21" customFormat="false" ht="15" hidden="false" customHeight="true" outlineLevel="0" collapsed="false">
      <c r="A21" s="5" t="s">
        <v>40</v>
      </c>
      <c r="B21" s="5" t="s">
        <v>41</v>
      </c>
      <c r="C21" s="5" t="s">
        <v>42</v>
      </c>
    </row>
    <row r="22" customFormat="false" ht="15" hidden="false" customHeight="true" outlineLevel="0" collapsed="false">
      <c r="A22" s="6" t="s">
        <v>43</v>
      </c>
      <c r="B22" s="9" t="n">
        <v>0.1</v>
      </c>
      <c r="C22" s="3" t="s">
        <v>44</v>
      </c>
    </row>
    <row r="23" customFormat="false" ht="15" hidden="false" customHeight="true" outlineLevel="0" collapsed="false">
      <c r="A23" s="6" t="s">
        <v>45</v>
      </c>
      <c r="B23" s="9" t="n">
        <v>0.006</v>
      </c>
      <c r="C23" s="3" t="s">
        <v>46</v>
      </c>
    </row>
    <row r="24" customFormat="false" ht="15" hidden="false" customHeight="true" outlineLevel="0" collapsed="false">
      <c r="A24" s="6" t="s">
        <v>47</v>
      </c>
      <c r="B24" s="9" t="n">
        <v>730</v>
      </c>
      <c r="C24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6"/>
    <col collapsed="false" customWidth="true" hidden="false" outlineLevel="0" max="4" min="4" style="1" width="22"/>
    <col collapsed="false" customWidth="true" hidden="false" outlineLevel="0" max="5" min="5" style="1" width="18"/>
  </cols>
  <sheetData>
    <row r="1" customFormat="false" ht="15" hidden="false" customHeight="true" outlineLevel="0" collapsed="false">
      <c r="A1" s="2" t="s">
        <v>49</v>
      </c>
    </row>
    <row r="3" customFormat="false" ht="15" hidden="false" customHeight="true" outlineLevel="0" collapsed="false">
      <c r="A3" s="4" t="s">
        <v>50</v>
      </c>
    </row>
    <row r="4" customFormat="false" ht="15" hidden="false" customHeight="true" outlineLevel="0" collapsed="false">
      <c r="A4" s="5" t="s">
        <v>51</v>
      </c>
      <c r="B4" s="5" t="s">
        <v>52</v>
      </c>
      <c r="C4" s="5" t="s">
        <v>5</v>
      </c>
      <c r="D4" s="5" t="s">
        <v>6</v>
      </c>
    </row>
    <row r="5" customFormat="false" ht="15" hidden="false" customHeight="true" outlineLevel="0" collapsed="false">
      <c r="A5" s="6" t="s">
        <v>53</v>
      </c>
      <c r="B5" s="6" t="s">
        <v>54</v>
      </c>
      <c r="C5" s="10" t="n">
        <f aca="false">Parametros!C6*Parametros!C7</f>
        <v>500000000</v>
      </c>
      <c r="D5" s="10" t="n">
        <f aca="false">Parametros!D6*Parametros!D7</f>
        <v>5000000000</v>
      </c>
    </row>
    <row r="6" customFormat="false" ht="15" hidden="false" customHeight="true" outlineLevel="0" collapsed="false">
      <c r="A6" s="6" t="s">
        <v>55</v>
      </c>
      <c r="B6" s="6" t="s">
        <v>54</v>
      </c>
      <c r="C6" s="10" t="n">
        <f aca="false">Parametros!C6*Parametros!C7</f>
        <v>500000000</v>
      </c>
      <c r="D6" s="10" t="n">
        <f aca="false">Parametros!D6*Parametros!D7</f>
        <v>5000000000</v>
      </c>
    </row>
    <row r="7" customFormat="false" ht="15" hidden="false" customHeight="true" outlineLevel="0" collapsed="false">
      <c r="A7" s="6" t="s">
        <v>56</v>
      </c>
      <c r="B7" s="6" t="s">
        <v>57</v>
      </c>
      <c r="C7" s="10" t="n">
        <f aca="false">Parametros!C6*Parametros!C9*Parametros!C8</f>
        <v>400000000</v>
      </c>
      <c r="D7" s="10" t="n">
        <f aca="false">Parametros!D6*Parametros!D9*Parametros!D8</f>
        <v>4000000000</v>
      </c>
    </row>
    <row r="8" customFormat="false" ht="15" hidden="false" customHeight="true" outlineLevel="0" collapsed="false">
      <c r="A8" s="6" t="s">
        <v>58</v>
      </c>
      <c r="B8" s="6" t="s">
        <v>54</v>
      </c>
      <c r="C8" s="10" t="n">
        <f aca="false">Parametros!C6*Parametros!C7</f>
        <v>500000000</v>
      </c>
      <c r="D8" s="10" t="n">
        <f aca="false">Parametros!D6*Parametros!D7</f>
        <v>5000000000</v>
      </c>
    </row>
    <row r="9" customFormat="false" ht="15" hidden="false" customHeight="true" outlineLevel="0" collapsed="false">
      <c r="A9" s="6" t="s">
        <v>59</v>
      </c>
      <c r="B9" s="6" t="s">
        <v>60</v>
      </c>
      <c r="C9" s="10" t="n">
        <f aca="false">Parametros!C10*Parametros!C9/8</f>
        <v>218962.5</v>
      </c>
      <c r="D9" s="10" t="n">
        <f aca="false">Parametros!D10*Parametros!D9/8</f>
        <v>218962.5</v>
      </c>
    </row>
    <row r="10" customFormat="false" ht="15" hidden="false" customHeight="true" outlineLevel="0" collapsed="false">
      <c r="A10" s="3" t="s">
        <v>61</v>
      </c>
    </row>
    <row r="12" customFormat="false" ht="15" hidden="false" customHeight="true" outlineLevel="0" collapsed="false">
      <c r="A12" s="4" t="s">
        <v>62</v>
      </c>
    </row>
    <row r="13" customFormat="false" ht="15" hidden="false" customHeight="true" outlineLevel="0" collapsed="false">
      <c r="A13" s="3" t="s">
        <v>63</v>
      </c>
    </row>
    <row r="14" customFormat="false" ht="15" hidden="false" customHeight="true" outlineLevel="0" collapsed="false">
      <c r="A14" s="5" t="s">
        <v>51</v>
      </c>
      <c r="B14" s="5" t="s">
        <v>30</v>
      </c>
      <c r="C14" s="5" t="s">
        <v>32</v>
      </c>
      <c r="D14" s="5" t="s">
        <v>34</v>
      </c>
      <c r="E14" s="5" t="s">
        <v>36</v>
      </c>
    </row>
    <row r="15" customFormat="false" ht="15" hidden="false" customHeight="true" outlineLevel="0" collapsed="false">
      <c r="A15" s="6" t="s">
        <v>53</v>
      </c>
      <c r="B15" s="11" t="n">
        <f aca="false">C5*Parametros!C11*Parametros!B15/1024^3</f>
        <v>13.0385160446167</v>
      </c>
      <c r="C15" s="11" t="n">
        <f aca="false">C5*Parametros!C11*Parametros!B16/1024^3</f>
        <v>14.9011611938477</v>
      </c>
      <c r="D15" s="11" t="n">
        <f aca="false">C5*Parametros!C11*Parametros!B17/1024^3</f>
        <v>9.31322574615479</v>
      </c>
      <c r="E15" s="11" t="n">
        <f aca="false">C5*Parametros!C11*Parametros!B18/1024^3</f>
        <v>11.1758708953857</v>
      </c>
    </row>
    <row r="16" customFormat="false" ht="15" hidden="false" customHeight="true" outlineLevel="0" collapsed="false">
      <c r="A16" s="6" t="s">
        <v>55</v>
      </c>
      <c r="B16" s="11" t="n">
        <f aca="false">C6*Parametros!C11*Parametros!B15/1024^3</f>
        <v>13.0385160446167</v>
      </c>
      <c r="C16" s="11" t="n">
        <f aca="false">C6*Parametros!C11*Parametros!B16/1024^3</f>
        <v>14.9011611938477</v>
      </c>
      <c r="D16" s="11" t="n">
        <f aca="false">C6*Parametros!C11*Parametros!B17/1024^3</f>
        <v>9.31322574615479</v>
      </c>
      <c r="E16" s="11" t="n">
        <f aca="false">C6*Parametros!C11*Parametros!B18/1024^3</f>
        <v>11.1758708953857</v>
      </c>
    </row>
    <row r="17" customFormat="false" ht="15" hidden="false" customHeight="true" outlineLevel="0" collapsed="false">
      <c r="A17" s="6" t="s">
        <v>56</v>
      </c>
      <c r="B17" s="11" t="n">
        <f aca="false">C7*Parametros!C11*Parametros!B15/1024^3</f>
        <v>10.4308128356934</v>
      </c>
      <c r="C17" s="11" t="n">
        <f aca="false">C7*Parametros!C11*Parametros!B16/1024^3</f>
        <v>11.9209289550781</v>
      </c>
      <c r="D17" s="11" t="n">
        <f aca="false">C7*Parametros!C11*Parametros!B17/1024^3</f>
        <v>7.45058059692383</v>
      </c>
      <c r="E17" s="11" t="n">
        <f aca="false">C7*Parametros!C11*Parametros!B18/1024^3</f>
        <v>8.94069671630859</v>
      </c>
    </row>
    <row r="18" customFormat="false" ht="15" hidden="false" customHeight="true" outlineLevel="0" collapsed="false">
      <c r="A18" s="6" t="s">
        <v>58</v>
      </c>
      <c r="B18" s="11" t="n">
        <f aca="false">C8*Parametros!C11*Parametros!B15/1024^3</f>
        <v>13.0385160446167</v>
      </c>
      <c r="C18" s="11" t="n">
        <f aca="false">C8*Parametros!C11*Parametros!B16/1024^3</f>
        <v>14.9011611938477</v>
      </c>
      <c r="D18" s="3" t="s">
        <v>64</v>
      </c>
      <c r="E18" s="11" t="n">
        <f aca="false">C8*Parametros!C11*Parametros!B18/1024^3</f>
        <v>11.1758708953857</v>
      </c>
    </row>
    <row r="20" customFormat="false" ht="15" hidden="false" customHeight="true" outlineLevel="0" collapsed="false">
      <c r="A20" s="3" t="s">
        <v>65</v>
      </c>
    </row>
    <row r="21" customFormat="false" ht="15" hidden="false" customHeight="true" outlineLevel="0" collapsed="false">
      <c r="A21" s="5" t="s">
        <v>51</v>
      </c>
      <c r="B21" s="5" t="s">
        <v>30</v>
      </c>
      <c r="C21" s="5" t="s">
        <v>32</v>
      </c>
      <c r="D21" s="5" t="s">
        <v>34</v>
      </c>
      <c r="E21" s="5" t="s">
        <v>36</v>
      </c>
    </row>
    <row r="22" customFormat="false" ht="15" hidden="false" customHeight="true" outlineLevel="0" collapsed="false">
      <c r="A22" s="6" t="s">
        <v>53</v>
      </c>
      <c r="B22" s="11" t="n">
        <f aca="false">D5*Parametros!D11*Parametros!B15/1024^3</f>
        <v>130.385160446167</v>
      </c>
      <c r="C22" s="11" t="n">
        <f aca="false">D5*Parametros!D11*Parametros!B16/1024^3</f>
        <v>149.011611938477</v>
      </c>
      <c r="D22" s="11" t="n">
        <f aca="false">D5*Parametros!D11*Parametros!B17/1024^3</f>
        <v>93.1322574615479</v>
      </c>
      <c r="E22" s="11" t="n">
        <f aca="false">D5*Parametros!D11*Parametros!B18/1024^3</f>
        <v>111.758708953857</v>
      </c>
    </row>
    <row r="23" customFormat="false" ht="15" hidden="false" customHeight="true" outlineLevel="0" collapsed="false">
      <c r="A23" s="6" t="s">
        <v>55</v>
      </c>
      <c r="B23" s="11" t="n">
        <f aca="false">D6*Parametros!D11*Parametros!B15/1024^3</f>
        <v>130.385160446167</v>
      </c>
      <c r="C23" s="11" t="n">
        <f aca="false">D6*Parametros!D11*Parametros!B16/1024^3</f>
        <v>149.011611938477</v>
      </c>
      <c r="D23" s="11" t="n">
        <f aca="false">D6*Parametros!D11*Parametros!B17/1024^3</f>
        <v>93.1322574615479</v>
      </c>
      <c r="E23" s="11" t="n">
        <f aca="false">D6*Parametros!D11*Parametros!B18/1024^3</f>
        <v>111.758708953857</v>
      </c>
    </row>
    <row r="24" customFormat="false" ht="15" hidden="false" customHeight="true" outlineLevel="0" collapsed="false">
      <c r="A24" s="6" t="s">
        <v>56</v>
      </c>
      <c r="B24" s="11" t="n">
        <f aca="false">D7*Parametros!D11*Parametros!B15/1024^3</f>
        <v>104.308128356934</v>
      </c>
      <c r="C24" s="11" t="n">
        <f aca="false">D7*Parametros!D11*Parametros!B16/1024^3</f>
        <v>119.209289550781</v>
      </c>
      <c r="D24" s="11" t="n">
        <f aca="false">D7*Parametros!D11*Parametros!B17/1024^3</f>
        <v>74.5058059692383</v>
      </c>
      <c r="E24" s="11" t="n">
        <f aca="false">D7*Parametros!D11*Parametros!B18/1024^3</f>
        <v>89.4069671630859</v>
      </c>
    </row>
    <row r="25" customFormat="false" ht="15" hidden="false" customHeight="true" outlineLevel="0" collapsed="false">
      <c r="A25" s="6" t="s">
        <v>58</v>
      </c>
      <c r="B25" s="11" t="n">
        <f aca="false">D8*Parametros!D11*Parametros!B15/1024^3</f>
        <v>130.385160446167</v>
      </c>
      <c r="C25" s="11" t="n">
        <f aca="false">D8*Parametros!D11*Parametros!B16/1024^3</f>
        <v>149.011611938477</v>
      </c>
      <c r="D25" s="3" t="s">
        <v>64</v>
      </c>
      <c r="E25" s="11" t="n">
        <f aca="false">D8*Parametros!D11*Parametros!B18/1024^3</f>
        <v>111.758708953857</v>
      </c>
    </row>
    <row r="27" customFormat="false" ht="15" hidden="false" customHeight="true" outlineLevel="0" collapsed="false">
      <c r="A27" s="4" t="s">
        <v>66</v>
      </c>
    </row>
    <row r="28" customFormat="false" ht="15" hidden="false" customHeight="true" outlineLevel="0" collapsed="false">
      <c r="A28" s="5" t="s">
        <v>51</v>
      </c>
      <c r="B28" s="5" t="s">
        <v>67</v>
      </c>
      <c r="C28" s="5" t="s">
        <v>68</v>
      </c>
      <c r="D28" s="5" t="s">
        <v>69</v>
      </c>
    </row>
    <row r="29" customFormat="false" ht="15" hidden="false" customHeight="true" outlineLevel="0" collapsed="false">
      <c r="A29" s="6" t="s">
        <v>53</v>
      </c>
      <c r="B29" s="12" t="n">
        <f aca="false">B15*Parametros!B22</f>
        <v>1.30385160446167</v>
      </c>
      <c r="C29" s="12" t="n">
        <f aca="false">C15*Parametros!B23*Parametros!B24</f>
        <v>65.2670860290527</v>
      </c>
      <c r="D29" s="13" t="n">
        <f aca="false">IFERROR(C29/B29,"")</f>
        <v>50.0571428571429</v>
      </c>
    </row>
    <row r="30" customFormat="false" ht="15" hidden="false" customHeight="true" outlineLevel="0" collapsed="false">
      <c r="A30" s="6" t="s">
        <v>55</v>
      </c>
      <c r="B30" s="12" t="n">
        <f aca="false">B16*Parametros!B22</f>
        <v>1.30385160446167</v>
      </c>
      <c r="C30" s="12" t="n">
        <f aca="false">C16*Parametros!B23*Parametros!B24</f>
        <v>65.2670860290527</v>
      </c>
      <c r="D30" s="13" t="n">
        <f aca="false">IFERROR(C30/B30,"")</f>
        <v>50.0571428571429</v>
      </c>
    </row>
    <row r="31" customFormat="false" ht="15" hidden="false" customHeight="true" outlineLevel="0" collapsed="false">
      <c r="A31" s="6" t="s">
        <v>56</v>
      </c>
      <c r="B31" s="12" t="n">
        <f aca="false">B17*Parametros!B22</f>
        <v>1.04308128356934</v>
      </c>
      <c r="C31" s="12" t="n">
        <f aca="false">C17*Parametros!B23*Parametros!B24</f>
        <v>52.2136688232422</v>
      </c>
      <c r="D31" s="13" t="n">
        <f aca="false">IFERROR(C31/B31,"")</f>
        <v>50.0571428571429</v>
      </c>
    </row>
    <row r="32" customFormat="false" ht="15" hidden="false" customHeight="true" outlineLevel="0" collapsed="false">
      <c r="A32" s="6" t="s">
        <v>58</v>
      </c>
      <c r="B32" s="12" t="n">
        <f aca="false">B18*Parametros!B22</f>
        <v>1.30385160446167</v>
      </c>
      <c r="C32" s="12" t="n">
        <f aca="false">C18*Parametros!B23*Parametros!B24</f>
        <v>65.2670860290527</v>
      </c>
      <c r="D32" s="13" t="n">
        <f aca="false">IFERROR(C32/B32,"")</f>
        <v>50.0571428571429</v>
      </c>
    </row>
    <row r="34" customFormat="false" ht="15" hidden="false" customHeight="true" outlineLevel="0" collapsed="false">
      <c r="A34" s="4" t="s">
        <v>70</v>
      </c>
    </row>
    <row r="35" customFormat="false" ht="15" hidden="false" customHeight="true" outlineLevel="0" collapsed="false">
      <c r="A35" s="6" t="s">
        <v>71</v>
      </c>
    </row>
    <row r="36" customFormat="false" ht="15" hidden="false" customHeight="true" outlineLevel="0" collapsed="false">
      <c r="A36" s="6" t="s">
        <v>72</v>
      </c>
      <c r="B36" s="10" t="n">
        <f aca="false">Parametros!C9*Parametros!C8</f>
        <v>400</v>
      </c>
      <c r="C36" s="6" t="str">
        <f aca="false">IF(B36&lt;Parametros!C7,"E-3 ocupa menos","E-3 ocupa mais")</f>
        <v>E-3 ocupa menos</v>
      </c>
    </row>
    <row r="37" customFormat="false" ht="15" hidden="false" customHeight="true" outlineLevel="0" collapsed="false">
      <c r="A37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4" t="s">
        <v>74</v>
      </c>
    </row>
    <row r="2" customFormat="false" ht="15" hidden="false" customHeight="false" outlineLevel="0" collapsed="false">
      <c r="A2" s="15" t="s">
        <v>75</v>
      </c>
    </row>
    <row r="4" customFormat="false" ht="15" hidden="false" customHeight="false" outlineLevel="0" collapsed="false">
      <c r="A4" s="16" t="s">
        <v>76</v>
      </c>
    </row>
    <row r="5" customFormat="false" ht="15" hidden="false" customHeight="false" outlineLevel="0" collapsed="false">
      <c r="A5" s="17" t="s">
        <v>77</v>
      </c>
      <c r="B5" s="17" t="s">
        <v>78</v>
      </c>
      <c r="C5" s="17" t="s">
        <v>42</v>
      </c>
      <c r="D5" s="17" t="s">
        <v>79</v>
      </c>
    </row>
    <row r="6" customFormat="false" ht="15" hidden="false" customHeight="false" outlineLevel="0" collapsed="false">
      <c r="A6" s="18" t="s">
        <v>80</v>
      </c>
      <c r="B6" s="19" t="n">
        <v>0.3886</v>
      </c>
      <c r="C6" s="18" t="s">
        <v>81</v>
      </c>
      <c r="D6" s="15" t="s">
        <v>82</v>
      </c>
    </row>
    <row r="7" customFormat="false" ht="15" hidden="false" customHeight="false" outlineLevel="0" collapsed="false">
      <c r="A7" s="18" t="s">
        <v>83</v>
      </c>
      <c r="B7" s="19" t="n">
        <v>0.1942</v>
      </c>
      <c r="C7" s="18" t="s">
        <v>81</v>
      </c>
      <c r="D7" s="15" t="s">
        <v>84</v>
      </c>
    </row>
    <row r="8" customFormat="false" ht="15" hidden="false" customHeight="false" outlineLevel="0" collapsed="false">
      <c r="A8" s="18" t="s">
        <v>85</v>
      </c>
      <c r="B8" s="19" t="n">
        <v>2.1</v>
      </c>
      <c r="C8" s="18" t="s">
        <v>81</v>
      </c>
      <c r="D8" s="15" t="s">
        <v>86</v>
      </c>
    </row>
    <row r="9" customFormat="false" ht="15" hidden="false" customHeight="false" outlineLevel="0" collapsed="false">
      <c r="A9" s="18" t="s">
        <v>87</v>
      </c>
      <c r="B9" s="19" t="n">
        <v>0.17</v>
      </c>
      <c r="C9" s="18" t="s">
        <v>88</v>
      </c>
      <c r="D9" s="15" t="s">
        <v>89</v>
      </c>
    </row>
    <row r="10" customFormat="false" ht="15" hidden="false" customHeight="false" outlineLevel="0" collapsed="false">
      <c r="A10" s="18" t="s">
        <v>90</v>
      </c>
      <c r="B10" s="19" t="n">
        <v>0.026</v>
      </c>
      <c r="C10" s="18" t="s">
        <v>88</v>
      </c>
      <c r="D10" s="15" t="s">
        <v>91</v>
      </c>
    </row>
    <row r="11" customFormat="false" ht="15" hidden="false" customHeight="false" outlineLevel="0" collapsed="false">
      <c r="A11" s="18" t="s">
        <v>92</v>
      </c>
      <c r="B11" s="19" t="n">
        <v>1.6</v>
      </c>
      <c r="C11" s="18" t="s">
        <v>93</v>
      </c>
      <c r="D11" s="15" t="s">
        <v>94</v>
      </c>
    </row>
    <row r="12" customFormat="false" ht="15" hidden="false" customHeight="false" outlineLevel="0" collapsed="false">
      <c r="A12" s="18" t="s">
        <v>95</v>
      </c>
      <c r="B12" s="19" t="n">
        <v>5.4</v>
      </c>
      <c r="C12" s="18" t="s">
        <v>96</v>
      </c>
      <c r="D12" s="15" t="s">
        <v>97</v>
      </c>
    </row>
    <row r="14" customFormat="false" ht="15" hidden="false" customHeight="false" outlineLevel="0" collapsed="false">
      <c r="A14" s="16" t="s">
        <v>98</v>
      </c>
    </row>
    <row r="15" customFormat="false" ht="15" hidden="false" customHeight="false" outlineLevel="0" collapsed="false">
      <c r="A15" s="17" t="s">
        <v>99</v>
      </c>
      <c r="B15" s="17" t="s">
        <v>100</v>
      </c>
      <c r="C15" s="17" t="s">
        <v>101</v>
      </c>
      <c r="D15" s="17" t="s">
        <v>81</v>
      </c>
    </row>
    <row r="16" customFormat="false" ht="15" hidden="false" customHeight="false" outlineLevel="0" collapsed="false">
      <c r="A16" s="18" t="s">
        <v>102</v>
      </c>
      <c r="B16" s="18" t="s">
        <v>103</v>
      </c>
      <c r="C16" s="20" t="n">
        <v>1</v>
      </c>
      <c r="D16" s="21" t="n">
        <f aca="false">C16*B6</f>
        <v>0.3886</v>
      </c>
    </row>
    <row r="17" customFormat="false" ht="15" hidden="false" customHeight="false" outlineLevel="0" collapsed="false">
      <c r="A17" s="18" t="s">
        <v>104</v>
      </c>
      <c r="B17" s="18" t="s">
        <v>105</v>
      </c>
      <c r="C17" s="20" t="n">
        <v>1</v>
      </c>
      <c r="D17" s="21" t="n">
        <f aca="false">C17*B7</f>
        <v>0.1942</v>
      </c>
    </row>
    <row r="18" customFormat="false" ht="15" hidden="false" customHeight="false" outlineLevel="0" collapsed="false">
      <c r="A18" s="18" t="s">
        <v>106</v>
      </c>
      <c r="B18" s="18" t="s">
        <v>103</v>
      </c>
      <c r="C18" s="20" t="n">
        <v>1</v>
      </c>
      <c r="D18" s="21" t="n">
        <f aca="false">C18*B6</f>
        <v>0.3886</v>
      </c>
    </row>
    <row r="19" customFormat="false" ht="15" hidden="false" customHeight="false" outlineLevel="0" collapsed="false">
      <c r="A19" s="16" t="s">
        <v>107</v>
      </c>
      <c r="D19" s="22" t="n">
        <f aca="false">SUM(D16:D18)</f>
        <v>0.9714</v>
      </c>
    </row>
    <row r="21" customFormat="false" ht="15" hidden="false" customHeight="false" outlineLevel="0" collapsed="false">
      <c r="A21" s="16" t="s">
        <v>108</v>
      </c>
    </row>
    <row r="22" customFormat="false" ht="15" hidden="false" customHeight="false" outlineLevel="0" collapsed="false">
      <c r="A22" s="17" t="s">
        <v>109</v>
      </c>
      <c r="B22" s="17" t="s">
        <v>110</v>
      </c>
      <c r="C22" s="17" t="s">
        <v>111</v>
      </c>
      <c r="D22" s="17" t="s">
        <v>112</v>
      </c>
    </row>
    <row r="23" customFormat="false" ht="15" hidden="false" customHeight="false" outlineLevel="0" collapsed="false">
      <c r="A23" s="18" t="s">
        <v>113</v>
      </c>
      <c r="B23" s="20" t="n">
        <v>1</v>
      </c>
      <c r="C23" s="20" t="n">
        <v>900</v>
      </c>
      <c r="D23" s="23" t="n">
        <f aca="false">B23*C23/60</f>
        <v>15</v>
      </c>
      <c r="E23" s="15" t="s">
        <v>114</v>
      </c>
    </row>
    <row r="24" customFormat="false" ht="15" hidden="false" customHeight="false" outlineLevel="0" collapsed="false">
      <c r="A24" s="18" t="s">
        <v>115</v>
      </c>
      <c r="B24" s="20" t="n">
        <v>12</v>
      </c>
      <c r="C24" s="20" t="n">
        <v>45</v>
      </c>
      <c r="D24" s="23" t="n">
        <f aca="false">B24*C24/60</f>
        <v>9</v>
      </c>
      <c r="E24" s="15" t="s">
        <v>116</v>
      </c>
    </row>
    <row r="25" customFormat="false" ht="15" hidden="false" customHeight="false" outlineLevel="0" collapsed="false">
      <c r="A25" s="18" t="s">
        <v>117</v>
      </c>
      <c r="B25" s="20" t="n">
        <v>45</v>
      </c>
      <c r="C25" s="20" t="n">
        <v>9</v>
      </c>
      <c r="D25" s="23" t="n">
        <f aca="false">B25*C25/60</f>
        <v>6.75</v>
      </c>
      <c r="E25" s="15" t="s">
        <v>118</v>
      </c>
    </row>
    <row r="26" customFormat="false" ht="15" hidden="false" customHeight="false" outlineLevel="0" collapsed="false">
      <c r="A26" s="18" t="s">
        <v>119</v>
      </c>
      <c r="B26" s="20" t="n">
        <v>225</v>
      </c>
      <c r="C26" s="20" t="n">
        <v>9</v>
      </c>
      <c r="D26" s="23" t="n">
        <f aca="false">B26*C26/60</f>
        <v>33.75</v>
      </c>
      <c r="E26" s="15" t="s">
        <v>120</v>
      </c>
    </row>
    <row r="27" customFormat="false" ht="15" hidden="false" customHeight="false" outlineLevel="0" collapsed="false">
      <c r="A27" s="18" t="s">
        <v>121</v>
      </c>
      <c r="B27" s="20" t="n">
        <v>15</v>
      </c>
      <c r="C27" s="20" t="n">
        <v>15</v>
      </c>
      <c r="D27" s="23" t="n">
        <f aca="false">B27*C27/60</f>
        <v>3.75</v>
      </c>
      <c r="E27" s="15" t="s">
        <v>122</v>
      </c>
    </row>
    <row r="28" customFormat="false" ht="15" hidden="false" customHeight="false" outlineLevel="0" collapsed="false">
      <c r="A28" s="18" t="s">
        <v>123</v>
      </c>
      <c r="B28" s="20" t="n">
        <v>135</v>
      </c>
      <c r="C28" s="20" t="n">
        <v>9</v>
      </c>
      <c r="D28" s="23" t="n">
        <f aca="false">B28*C28/60</f>
        <v>20.25</v>
      </c>
      <c r="E28" s="15"/>
    </row>
    <row r="29" customFormat="false" ht="15" hidden="false" customHeight="false" outlineLevel="0" collapsed="false">
      <c r="A29" s="16" t="s">
        <v>124</v>
      </c>
      <c r="D29" s="24" t="n">
        <f aca="false">SUM(D23:D28)</f>
        <v>88.5</v>
      </c>
    </row>
    <row r="30" customFormat="false" ht="15" hidden="false" customHeight="false" outlineLevel="0" collapsed="false">
      <c r="A30" s="18" t="s">
        <v>125</v>
      </c>
      <c r="B30" s="25" t="n">
        <v>0.4</v>
      </c>
      <c r="D30" s="23" t="n">
        <f aca="false">D29*B30</f>
        <v>35.4</v>
      </c>
    </row>
    <row r="31" customFormat="false" ht="15" hidden="false" customHeight="false" outlineLevel="0" collapsed="false">
      <c r="A31" s="16" t="s">
        <v>126</v>
      </c>
      <c r="D31" s="24" t="n">
        <f aca="false">D29+D30</f>
        <v>123.9</v>
      </c>
    </row>
    <row r="33" customFormat="false" ht="15" hidden="false" customHeight="false" outlineLevel="0" collapsed="false">
      <c r="A33" s="16" t="s">
        <v>127</v>
      </c>
    </row>
    <row r="34" customFormat="false" ht="15" hidden="false" customHeight="false" outlineLevel="0" collapsed="false">
      <c r="A34" s="17" t="s">
        <v>40</v>
      </c>
      <c r="B34" s="17" t="s">
        <v>128</v>
      </c>
      <c r="C34" s="17" t="s">
        <v>129</v>
      </c>
      <c r="D34" s="17" t="s">
        <v>130</v>
      </c>
    </row>
    <row r="35" customFormat="false" ht="15" hidden="false" customHeight="false" outlineLevel="0" collapsed="false">
      <c r="A35" s="18" t="s">
        <v>131</v>
      </c>
      <c r="B35" s="23" t="n">
        <f aca="false">D31</f>
        <v>123.9</v>
      </c>
      <c r="C35" s="26" t="n">
        <f aca="false">B35*D19</f>
        <v>120.35646</v>
      </c>
      <c r="D35" s="27"/>
    </row>
    <row r="36" customFormat="false" ht="15" hidden="false" customHeight="false" outlineLevel="0" collapsed="false">
      <c r="A36" s="18" t="s">
        <v>132</v>
      </c>
      <c r="B36" s="20" t="n">
        <v>200</v>
      </c>
      <c r="C36" s="26" t="n">
        <f aca="false">B36*B9</f>
        <v>34</v>
      </c>
      <c r="D36" s="27"/>
    </row>
    <row r="37" customFormat="false" ht="15" hidden="false" customHeight="false" outlineLevel="0" collapsed="false">
      <c r="A37" s="18" t="s">
        <v>133</v>
      </c>
      <c r="B37" s="20" t="n">
        <v>200</v>
      </c>
      <c r="C37" s="26" t="n">
        <f aca="false">B37*B10</f>
        <v>5.2</v>
      </c>
      <c r="D37" s="27"/>
    </row>
    <row r="38" customFormat="false" ht="15" hidden="false" customHeight="false" outlineLevel="0" collapsed="false">
      <c r="A38" s="16" t="s">
        <v>134</v>
      </c>
      <c r="C38" s="28" t="n">
        <f aca="false">SUM(C35:C37)</f>
        <v>159.55646</v>
      </c>
      <c r="D38" s="29" t="n">
        <f aca="false">C38*B12</f>
        <v>861.604884</v>
      </c>
    </row>
    <row r="39" customFormat="false" ht="15" hidden="false" customHeight="false" outlineLevel="0" collapsed="false">
      <c r="A39" s="16" t="s">
        <v>135</v>
      </c>
      <c r="C39" s="28" t="n">
        <f aca="false">C38*B11</f>
        <v>255.290336</v>
      </c>
      <c r="D39" s="29" t="n">
        <f aca="false">C39*B12</f>
        <v>1378.5678144</v>
      </c>
    </row>
    <row r="41" customFormat="false" ht="15" hidden="false" customHeight="false" outlineLevel="0" collapsed="false">
      <c r="A41" s="15" t="s">
        <v>136</v>
      </c>
    </row>
    <row r="42" customFormat="false" ht="15" hidden="false" customHeight="false" outlineLevel="0" collapsed="false">
      <c r="A42" s="15" t="s">
        <v>137</v>
      </c>
    </row>
    <row r="43" customFormat="false" ht="15" hidden="false" customHeight="false" outlineLevel="0" collapsed="false">
      <c r="A43" s="1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2026-07-27T02:48:28Z</dcterms:created>
  <dc:creator>openpyxl</dc:creator>
  <dc:description/>
  <dc:language>en-US</dc:language>
  <cp:lastModifiedBy/>
  <dcterms:modified xsi:type="dcterms:W3CDTF">2026-07-27T02:54:31Z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